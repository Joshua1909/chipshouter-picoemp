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ofcrev-my.sharepoint.com/personal/joshua_riesenweber_id_au/Documents/Projects/IoT/chipshouter-picoemp-main/hardware/JLCPCB fabrication files/"/>
    </mc:Choice>
  </mc:AlternateContent>
  <xr:revisionPtr revIDLastSave="0" documentId="14_{00730E61-9FE8-40FC-BE68-958450EB53AA}" xr6:coauthVersionLast="47" xr6:coauthVersionMax="47" xr10:uidLastSave="{00000000-0000-0000-0000-000000000000}"/>
  <bookViews>
    <workbookView xWindow="-120" yWindow="-120" windowWidth="51840" windowHeight="21120" xr2:uid="{80F82B4E-1D94-485D-85F2-222FF592D8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" i="1"/>
</calcChain>
</file>

<file path=xl/sharedStrings.xml><?xml version="1.0" encoding="utf-8"?>
<sst xmlns="http://schemas.openxmlformats.org/spreadsheetml/2006/main" count="176" uniqueCount="162">
  <si>
    <t>Reference</t>
  </si>
  <si>
    <t>Value</t>
  </si>
  <si>
    <t>Footprint</t>
  </si>
  <si>
    <t>Datasheet</t>
  </si>
  <si>
    <t>Cost</t>
  </si>
  <si>
    <t>Mfg PN</t>
  </si>
  <si>
    <t>Vendor Link</t>
  </si>
  <si>
    <t>Vendor PN</t>
  </si>
  <si>
    <t>Qty</t>
  </si>
  <si>
    <t>C1, C2</t>
  </si>
  <si>
    <t>C3</t>
  </si>
  <si>
    <t>C5</t>
  </si>
  <si>
    <t>D1, D3, D4, D5</t>
  </si>
  <si>
    <t>D2</t>
  </si>
  <si>
    <t>D6, D9</t>
  </si>
  <si>
    <t>D7</t>
  </si>
  <si>
    <t>D8</t>
  </si>
  <si>
    <t>J1</t>
  </si>
  <si>
    <t>J2</t>
  </si>
  <si>
    <t>J3</t>
  </si>
  <si>
    <t>Q1</t>
  </si>
  <si>
    <t>Q2</t>
  </si>
  <si>
    <t>Q3, Q4</t>
  </si>
  <si>
    <t>R1</t>
  </si>
  <si>
    <t>R2</t>
  </si>
  <si>
    <t>R3, R7</t>
  </si>
  <si>
    <t>R4</t>
  </si>
  <si>
    <t>R5, R10, R11, R12, R13</t>
  </si>
  <si>
    <t>R6</t>
  </si>
  <si>
    <t>R9</t>
  </si>
  <si>
    <t>T1, T2</t>
  </si>
  <si>
    <t>U1</t>
  </si>
  <si>
    <t>BH1</t>
  </si>
  <si>
    <t>4.7uF/50V</t>
  </si>
  <si>
    <t>0.47uF,630V,X7T</t>
  </si>
  <si>
    <t>SM4005PL-TP</t>
  </si>
  <si>
    <t>MURA160T3G</t>
  </si>
  <si>
    <t>LED, 0603, Red</t>
  </si>
  <si>
    <t>MM3Z18VB</t>
  </si>
  <si>
    <t>LED, 0603, Green</t>
  </si>
  <si>
    <t>EDGE-SMA</t>
  </si>
  <si>
    <t>1x2_Pin_Header</t>
  </si>
  <si>
    <t>BG306-02-A-2-0400-L-G</t>
  </si>
  <si>
    <t>LDA111STR</t>
  </si>
  <si>
    <t>RGT16BM65DTL</t>
  </si>
  <si>
    <t>AO3422</t>
  </si>
  <si>
    <t>20M</t>
  </si>
  <si>
    <t>300K</t>
  </si>
  <si>
    <t>10R</t>
  </si>
  <si>
    <t>75R</t>
  </si>
  <si>
    <t>1k</t>
  </si>
  <si>
    <t>22k</t>
  </si>
  <si>
    <t>2k</t>
  </si>
  <si>
    <t>ATB322524</t>
  </si>
  <si>
    <t>PRT-09925</t>
  </si>
  <si>
    <t>CAP_0805</t>
  </si>
  <si>
    <t>CAP_0603</t>
  </si>
  <si>
    <t>DO-214AC</t>
  </si>
  <si>
    <t>LED_0603</t>
  </si>
  <si>
    <t>SOP254P952X470-6N</t>
  </si>
  <si>
    <t>DPAK_TO-252AA</t>
  </si>
  <si>
    <t>RES_2010_5025</t>
  </si>
  <si>
    <t>RES_2512_6432</t>
  </si>
  <si>
    <t>RES_0603</t>
  </si>
  <si>
    <t>RES_0805</t>
  </si>
  <si>
    <t>https://jlc-prod-smt.oss-eu-central-1.aliyuncs.com/smtDataManualFile/8588884060223102976-C319187.pdf?response-content-disposition=attachment%3B%20filename%3DC319187.pdf%3B%20filename%2A%3DUTF-8%27%27C319187.pdf&amp;x-oss-date=20260807T040057Z&amp;x-oss-expires=1800&amp;x-oss-security-token=CAISgAN1q6Ft5B2yfSjIr5rkH%2FL2lItwhLScV0L7pVkYWd1%2F17Tg1Dz2IHhMdHJsAOodtv0%2FmmhT6PkclqRLcbhpcmfjV%2BZHzLB8qZt9oTdU4J7b16cNrbH4M4H6aXeirtuwDsz9SNTCALjPD3nPii50x5bjaDymRCbLGJaViJlhHLN1Ow6jdmhpCctxLAlvo9NgFxm3D%2Fu2NQPwiWf9FVdhvhEG6Vly8qOi2MaRmFy8yFTx0b0SvJ%2BjYMrmPctoN9JnSdC5mfdzau3a1TJ84gRD0a5wkaVA1zbDs5bfISEIuUzebreLqY03dV4mOvdqIcMe8qigz88fk%2FfIioH6xyxKOexoSCnFTOiiupCcQLPyao9jLu6iayqViY7QaIOTqQohZmkAMwVOasAsI3Ngh4zF97Qt0cVNkXO9gWfLI8DtuMleWgrtTO5FKnSgc5lCkRRYwGs1287ugXlSQzo890KPDAEovaKCnZ2ZSfh7Y4sNknI6i%2Bfc2Se2MIkIGvIi%2F6KWD5sagAGnZcgiFjHcfvLWKa529eYEFxdljY13yBYp%2BuU5TQerVf%2BtOCNJOyn7RbxJRc3oItESU22XKU4vDttjD6GPS7xVbRO5tDGduuHZBMIqTYvcIZ%2BeNoqnJODwUgJ734Y9mc8e22lCxtvCMWa16tLVRiPJESFOmGIpKBFU3FFoZy9yUCAA&amp;x-oss-signature-version=OSS4-HMAC-SHA256&amp;x-oss-credential=STS.NYQTHByTQ3vwUdJAYMURS8qK6%2F20260807%2Feu-central-1%2Foss%2Faliyun_v4_request&amp;x-oss-signature=7a6b6b9be66de8181f97b761343ba71bb14063a92e101960efcc7fc868eaa058</t>
  </si>
  <si>
    <t>C2012X5R1H475KT000N</t>
  </si>
  <si>
    <t>C319187</t>
  </si>
  <si>
    <t>https://jlcpcb.com/partdetail/TDK-C2012X5R1H475KT000N/C319187</t>
  </si>
  <si>
    <t>https://jlc-prod-smt.oss-eu-central-1.aliyuncs.com/smtDataManualFile/8588934341627535360-C692326.pdf?response-content-disposition=attachment%3B%20filename%3DC692326.pdf%3B%20filename%2A%3DUTF-8%27%27C692326.pdf&amp;x-oss-date=20260807T040438Z&amp;x-oss-expires=1800&amp;x-oss-security-token=CAISgAN1q6Ft5B2yfSjIr5rkH%2FL2lItwhLScV0L7pVkYWd1%2F17Tg1Dz2IHhMdHJsAOodtv0%2FmmhT6PkclqRLcbhpcmfjV%2BZHzLB8qZt9oTdU4J7b16cNrbH4M4H6aXeirtuwDsz9SNTCALjPD3nPii50x5bjaDymRCbLGJaViJlhHLN1Ow6jdmhpCctxLAlvo9NgFxm3D%2Fu2NQPwiWf9FVdhvhEG6Vly8qOi2MaRmFy8yFTx0b0SvJ%2BjYMrmPctoN9JnSdC5mfdzau3a1TJ84gRD0a5wkaVA1zbDs5bfISEIuUzebreLqY03dV4mOvdqIcMe8qigz88fk%2FfIioH6xyxKOexoSCnFTOiiupCcQLPyao9jLu6iayqViY7QaIOTqQohZmkAMwVOasAsI3Ngh4zF97Qt0cVNkXO9gWfLI8DtuMleWgrtTO5FKnSgc5lCkRRYwGs1287ugXlSQzo890KPDAEovaKCnZ2ZSfh7Y4sNknI6i%2Bfc2Se2MIkIGvIi%2F6KWD5sagAGnZcgiFjHcfvLWKa529eYEFxdljY13yBYp%2BuU5TQerVf%2BtOCNJOyn7RbxJRc3oItESU22XKU4vDttjD6GPS7xVbRO5tDGduuHZBMIqTYvcIZ%2BeNoqnJODwUgJ734Y9mc8e22lCxtvCMWa16tLVRiPJESFOmGIpKBFU3FFoZy9yUCAA&amp;x-oss-signature-version=OSS4-HMAC-SHA256&amp;x-oss-credential=STS.NYQTHByTQ3vwUdJAYMURS8qK6%2F20260807%2Feu-central-1%2Foss%2Faliyun_v4_request&amp;x-oss-signature=0c7603e0c5de0ebae8ccbd852e1753876c03b9d5f8ab1d89316d2d7b59edb6cc</t>
  </si>
  <si>
    <t>FM55X474K631EFG</t>
  </si>
  <si>
    <t>https://jlcpcb.com/partdetail/724209-FM55X474K631EFG/C692326</t>
  </si>
  <si>
    <t>C692326</t>
  </si>
  <si>
    <t>CAP_2220</t>
  </si>
  <si>
    <t>https://jlc-prod-smt.oss-eu-central-1.aliyuncs.com/smtDataManualFile/8588899315188715520-C127833.pdf?response-content-disposition=attachment%3B%20filename%3DC127833.pdf%3B%20filename%2A%3DUTF-8%27%27C127833.pdf&amp;x-oss-date=20260807T040623Z&amp;x-oss-expires=1800&amp;x-oss-security-token=CAISgAN1q6Ft5B2yfSjIr5rkH%2FL2lItwhLScV0L7pVkYWd1%2F17Tg1Dz2IHhMdHJsAOodtv0%2FmmhT6PkclqRLcbhpcmfjV%2BZHzLB8qZt9oTdU4J7b16cNrbH4M4H6aXeirtuwDsz9SNTCALjPD3nPii50x5bjaDymRCbLGJaViJlhHLN1Ow6jdmhpCctxLAlvo9NgFxm3D%2Fu2NQPwiWf9FVdhvhEG6Vly8qOi2MaRmFy8yFTx0b0SvJ%2BjYMrmPctoN9JnSdC5mfdzau3a1TJ84gRD0a5wkaVA1zbDs5bfISEIuUzebreLqY03dV4mOvdqIcMe8qigz88fk%2FfIioH6xyxKOexoSCnFTOiiupCcQLPyao9jLu6iayqViY7QaIOTqQohZmkAMwVOasAsI3Ngh4zF97Qt0cVNkXO9gWfLI8DtuMleWgrtTO5FKnSgc5lCkRRYwGs1287ugXlSQzo890KPDAEovaKCnZ2ZSfh7Y4sNknI6i%2Bfc2Se2MIkIGvIi%2F6KWD5sagAGnZcgiFjHcfvLWKa529eYEFxdljY13yBYp%2BuU5TQerVf%2BtOCNJOyn7RbxJRc3oItESU22XKU4vDttjD6GPS7xVbRO5tDGduuHZBMIqTYvcIZ%2BeNoqnJODwUgJ734Y9mc8e22lCxtvCMWa16tLVRiPJESFOmGIpKBFU3FFoZy9yUCAA&amp;x-oss-signature-version=OSS4-HMAC-SHA256&amp;x-oss-credential=STS.NYQTHByTQ3vwUdJAYMURS8qK6%2F20260807%2Feu-central-1%2Foss%2Faliyun_v4_request&amp;x-oss-signature=84d1d14b6d497ba0d7f25b88c87f6a1e858e4d632275784ea0351e6b291f2d2c</t>
  </si>
  <si>
    <t>C0603C104K5RACTU</t>
  </si>
  <si>
    <t>https://jlcpcb.com/partdetail/KEMET-C0603C104K5RACTU/C127833</t>
  </si>
  <si>
    <t>C127833</t>
  </si>
  <si>
    <t>SOD-123FL</t>
  </si>
  <si>
    <t>https://jlc-prod-smt.oss-eu-central-1.aliyuncs.com/smtDataManualFile/8588880606779854848-C151774.pdf?response-content-disposition=attachment%3B%20filename%3DC151774.pdf%3B%20filename%2A%3DUTF-8%27%27C151774.pdf&amp;x-oss-date=20260807T040732Z&amp;x-oss-expires=1800&amp;x-oss-security-token=CAISgAN1q6Ft5B2yfSjIr5rkH%2FL2lItwhLScV0L7pVkYWd1%2F17Tg1Dz2IHhMdHJsAOodtv0%2FmmhT6PkclqRLcbhpcmfjV%2BZHzLB8qZt9oTdU4J7b16cNrbH4M4H6aXeirtuwDsz9SNTCALjPD3nPii50x5bjaDymRCbLGJaViJlhHLN1Ow6jdmhpCctxLAlvo9NgFxm3D%2Fu2NQPwiWf9FVdhvhEG6Vly8qOi2MaRmFy8yFTx0b0SvJ%2BjYMrmPctoN9JnSdC5mfdzau3a1TJ84gRD0a5wkaVA1zbDs5bfISEIuUzebreLqY03dV4mOvdqIcMe8qigz88fk%2FfIioH6xyxKOexoSCnFTOiiupCcQLPyao9jLu6iayqViY7QaIOTqQohZmkAMwVOasAsI3Ngh4zF97Qt0cVNkXO9gWfLI8DtuMleWgrtTO5FKnSgc5lCkRRYwGs1287ugXlSQzo890KPDAEovaKCnZ2ZSfh7Y4sNknI6i%2Bfc2Se2MIkIGvIi%2F6KWD5sagAGnZcgiFjHcfvLWKa529eYEFxdljY13yBYp%2BuU5TQerVf%2BtOCNJOyn7RbxJRc3oItESU22XKU4vDttjD6GPS7xVbRO5tDGduuHZBMIqTYvcIZ%2BeNoqnJODwUgJ734Y9mc8e22lCxtvCMWa16tLVRiPJESFOmGIpKBFU3FFoZy9yUCAA&amp;x-oss-signature-version=OSS4-HMAC-SHA256&amp;x-oss-credential=STS.NYQTHByTQ3vwUdJAYMURS8qK6%2F20260807%2Feu-central-1%2Foss%2Faliyun_v4_request&amp;x-oss-signature=e7e4bcdf4ec427a53ace7b420cc77cc8ab3887ca58e34323710720377a8431ff</t>
  </si>
  <si>
    <t>C151774</t>
  </si>
  <si>
    <t>https://jlcpcb.com/partdetail/163114-SM4005PLTP/C151774</t>
  </si>
  <si>
    <t>100nF</t>
  </si>
  <si>
    <t>https://jlc-prod-smt.oss-eu-central-1.aliyuncs.com/smtDataManualFile/8586178987718545408-C50432.pdf?response-content-disposition=attachment%3B%20filename%3DC50432.pdf%3B%20filename%2A%3DUTF-8%27%27C50432.pdf&amp;x-oss-date=20260807T040943Z&amp;x-oss-expires=1800&amp;x-oss-security-token=CAISgAN1q6Ft5B2yfSjIr5rkH%2FL2lItwhLScV0L7pVkYWd1%2F17Tg1Dz2IHhMdHJsAOodtv0%2FmmhT6PkclqRLcbhpcmfjV%2BZHzLB8qZt9oTdU4J7b16cNrbH4M4H6aXeirtuwDsz9SNTCALjPD3nPii50x5bjaDymRCbLGJaViJlhHLN1Ow6jdmhpCctxLAlvo9NgFxm3D%2Fu2NQPwiWf9FVdhvhEG6Vly8qOi2MaRmFy8yFTx0b0SvJ%2BjYMrmPctoN9JnSdC5mfdzau3a1TJ84gRD0a5wkaVA1zbDs5bfISEIuUzebreLqY03dV4mOvdqIcMe8qigz88fk%2FfIioH6xyxKOexoSCnFTOiiupCcQLPyao9jLu6iayqViY7QaIOTqQohZmkAMwVOasAsI3Ngh4zF97Qt0cVNkXO9gWfLI8DtuMleWgrtTO5FKnSgc5lCkRRYwGs1287ugXlSQzo890KPDAEovaKCnZ2ZSfh7Y4sNknI6i%2Bfc2Se2MIkIGvIi%2F6KWD5sagAGnZcgiFjHcfvLWKa529eYEFxdljY13yBYp%2BuU5TQerVf%2BtOCNJOyn7RbxJRc3oItESU22XKU4vDttjD6GPS7xVbRO5tDGduuHZBMIqTYvcIZ%2BeNoqnJODwUgJ734Y9mc8e22lCxtvCMWa16tLVRiPJESFOmGIpKBFU3FFoZy9yUCAA&amp;x-oss-signature-version=OSS4-HMAC-SHA256&amp;x-oss-credential=STS.NYQTHByTQ3vwUdJAYMURS8qK6%2F20260807%2Feu-central-1%2Foss%2Faliyun_v4_request&amp;x-oss-signature=73418a3dd57d2746097b3d4483165384e7b55b74a0658a3ee8a8fea2c683cb5d</t>
  </si>
  <si>
    <t>https://jlcpcb.com/partdetail/onsemi-MURA160T3G/C50432</t>
  </si>
  <si>
    <t>C50432</t>
  </si>
  <si>
    <t>https://www.we-online.com/components/products/datasheet/150060SS75000.pdf</t>
  </si>
  <si>
    <t>150060SS75000</t>
  </si>
  <si>
    <t>https://jlcpcb.com/partdetail/WurthElektronik-150060SS75000/C6784992</t>
  </si>
  <si>
    <t>C6784992</t>
  </si>
  <si>
    <t>SOD_323FL</t>
  </si>
  <si>
    <t>https://jlc-prod-smt.oss-eu-central-1.aliyuncs.com/smtDataManualFile/8589985941353377792-C891584.pdf?response-content-disposition=attachment%3B%20filename%3DC891584.pdf%3B%20filename%2A%3DUTF-8%27%27C891584.pdf&amp;x-oss-date=20260807T041549Z&amp;x-oss-expires=1800&amp;x-oss-security-token=CAISgAN1q6Ft5B2yfSjIr5qHeu3GqLYT4rOsZEj5snQ6WNlitardqjz2IHhMdHJsAOodtv0%2FmmhT6PkclqRLcbhpcmfjV%2BZHzLB8qfAi%2BDRU4J7b16cNrbH4M4H6aXeirtuwDsz9SNTCALjPD3nPii50x5bjaDymRCbLGJaViJlhHLN1Ow6jdmhpCctxLAlvo9NgFxm3D%2Fu2NQPwiWf9FVdhvhEG6Vly8qOi2MaRmFy8yFTx0b0SvJ%2BjYMrmPctoN9JnSdC5mfdzau3a1TJ84gRD0a5wkaVA1zbDs5bfISEIuUzebreLqY03dV4mOvdqIcMe8qigz88fk%2FfIioH6xyxKOexoSCnFTOiiupCcQLPyao9jLu6iayqViY7QaIOTqQohZmkAMwVOasAsI3Ngh4zF97Qt0cVNkXO9gWfLI8DtuMleWmqg1vJlKnSgc5lCkRRYwGs1287ugXlSQzo890KPDAEovaKCnZ2ZSfh7Y4sNknI6i%2Bfc2Se2MIkIXENms6KWD5sagAF6PIkVCPIyr5bSY76y5BhXOpOpDLxMWBGIHXYyvOSZpoeUNhScz3%2Fn5cgHedwmb5uddko9pCpEXhv7maXuDkWYUjFSmOYmW32UdTxCpB3kFhZkHlxVqBMVqOe6r52Bd95asWHOD6M8hURo7EX37Sc1wsOPYvupzYs%2BohnevKUlOCAA&amp;x-oss-signature-version=OSS4-HMAC-SHA256&amp;x-oss-credential=STS.NY21WrEi2UqGfnHVtoTVNZovH%2F20260807%2Feu-central-1%2Foss%2Faliyun_v4_request&amp;x-oss-signature=a977f4be74d84f6e4931bb487a314cdf7d7d0de73c9e2183bf995b8589769cae</t>
  </si>
  <si>
    <t>https://jlcpcb.com/partdetail/onsemi-MM3Z18VB/C891584</t>
  </si>
  <si>
    <t>C891584</t>
  </si>
  <si>
    <t>https://jlc-prod-smt.oss-eu-central-1.aliyuncs.com/smtDataManualFile/8589784767215263744-C5119770.pdf?response-content-disposition=attachment%3B%20filename%3DC5119770.pdf%3B%20filename%2A%3DUTF-8%27%27C5119770.pdf&amp;x-oss-date=20260807T041715Z&amp;x-oss-expires=1800&amp;x-oss-security-token=CAISgAN1q6Ft5B2yfSjIr5qHeu3GqLYT4rOsZEj5snQ6WNlitardqjz2IHhMdHJsAOodtv0%2FmmhT6PkclqRLcbhpcmfjV%2BZHzLB8qfAi%2BDRU4J7b16cNrbH4M4H6aXeirtuwDsz9SNTCALjPD3nPii50x5bjaDymRCbLGJaViJlhHLN1Ow6jdmhpCctxLAlvo9NgFxm3D%2Fu2NQPwiWf9FVdhvhEG6Vly8qOi2MaRmFy8yFTx0b0SvJ%2BjYMrmPctoN9JnSdC5mfdzau3a1TJ84gRD0a5wkaVA1zbDs5bfISEIuUzebreLqY03dV4mOvdqIcMe8qigz88fk%2FfIioH6xyxKOexoSCnFTOiiupCcQLPyao9jLu6iayqViY7QaIOTqQohZmkAMwVOasAsI3Ngh4zF97Qt0cVNkXO9gWfLI8DtuMleWmqg1vJlKnSgc5lCkRRYwGs1287ugXlSQzo890KPDAEovaKCnZ2ZSfh7Y4sNknI6i%2Bfc2Se2MIkIXENms6KWD5sagAF6PIkVCPIyr5bSY76y5BhXOpOpDLxMWBGIHXYyvOSZpoeUNhScz3%2Fn5cgHedwmb5uddko9pCpEXhv7maXuDkWYUjFSmOYmW32UdTxCpB3kFhZkHlxVqBMVqOe6r52Bd95asWHOD6M8hURo7EX37Sc1wsOPYvupzYs%2BohnevKUlOCAA&amp;x-oss-signature-version=OSS4-HMAC-SHA256&amp;x-oss-credential=STS.NY21WrEi2UqGfnHVtoTVNZovH%2F20260807%2Feu-central-1%2Foss%2Faliyun_v4_request&amp;x-oss-signature=66e224bac45c9e874c7aab914a7867af5711ed392bc273ab7d45417cea3fbc51</t>
  </si>
  <si>
    <t>APT1608CGCK</t>
  </si>
  <si>
    <t>https://jlcpcb.com/partdetail/Kingbright-APT1608CGCK/C5119770</t>
  </si>
  <si>
    <t>C5119770</t>
  </si>
  <si>
    <t>https://www.molex.com/content/dam/molex/molex-dot-com/products/automated/en-us/salesdrawingpdf/732/73251/732511150_sd.pdf?inline</t>
  </si>
  <si>
    <t>https://jlcpcb.com/partdetail/MOLEX-732511150/C841205</t>
  </si>
  <si>
    <t>C841205</t>
  </si>
  <si>
    <t>https://jlc-prod-smt.oss-eu-central-1.aliyuncs.com/smtDataManualFile/8588891957980770304-C157931.pdf?response-content-disposition=attachment%3B%20filename%3DC157931.pdf%3B%20filename%2A%3DUTF-8%27%27C157931.pdf&amp;x-oss-date=20260807T042024Z&amp;x-oss-expires=1800&amp;x-oss-security-token=CAISgAN1q6Ft5B2yfSjIr5qHeu3GqLYT4rOsZEj5snQ6WNlitardqjz2IHhMdHJsAOodtv0%2FmmhT6PkclqRLcbhpcmfjV%2BZHzLB8qfAi%2BDRU4J7b16cNrbH4M4H6aXeirtuwDsz9SNTCALjPD3nPii50x5bjaDymRCbLGJaViJlhHLN1Ow6jdmhpCctxLAlvo9NgFxm3D%2Fu2NQPwiWf9FVdhvhEG6Vly8qOi2MaRmFy8yFTx0b0SvJ%2BjYMrmPctoN9JnSdC5mfdzau3a1TJ84gRD0a5wkaVA1zbDs5bfISEIuUzebreLqY03dV4mOvdqIcMe8qigz88fk%2FfIioH6xyxKOexoSCnFTOiiupCcQLPyao9jLu6iayqViY7QaIOTqQohZmkAMwVOasAsI3Ngh4zF97Qt0cVNkXO9gWfLI8DtuMleWmqg1vJlKnSgc5lCkRRYwGs1287ugXlSQzo890KPDAEovaKCnZ2ZSfh7Y4sNknI6i%2Bfc2Se2MIkIXENms6KWD5sagAF6PIkVCPIyr5bSY76y5BhXOpOpDLxMWBGIHXYyvOSZpoeUNhScz3%2Fn5cgHedwmb5uddko9pCpEXhv7maXuDkWYUjFSmOYmW32UdTxCpB3kFhZkHlxVqBMVqOe6r52Bd95asWHOD6M8hURo7EX37Sc1wsOPYvupzYs%2BohnevKUlOCAA&amp;x-oss-signature-version=OSS4-HMAC-SHA256&amp;x-oss-credential=STS.NY21WrEi2UqGfnHVtoTVNZovH%2F20260807%2Feu-central-1%2Foss%2Faliyun_v4_request&amp;x-oss-signature=56c0025a332d690e9746a414e5335dc4ff760341ac08a486cf7f0294725866c4</t>
  </si>
  <si>
    <t>S2B-XH-A(LF)(SN)</t>
  </si>
  <si>
    <t>https://jlcpcb.com/partdetail/JST-S2B_XH_A_LF_SN/C157931</t>
  </si>
  <si>
    <t>C157931</t>
  </si>
  <si>
    <t>https://jlc-prod-smt.oss-eu-central-1.aliyuncs.com/smtDataManualFile/8603349436185923584-C6868880.pdf?response-content-disposition=attachment%3B%20filename%3DC6868880.pdf%3B%20filename%2A%3DUTF-8%27%27C6868880.pdf&amp;x-oss-date=20260807T042123Z&amp;x-oss-expires=1800&amp;x-oss-security-token=CAISgAN1q6Ft5B2yfSjIr5qHeu3GqLYT4rOsZEj5snQ6WNlitardqjz2IHhMdHJsAOodtv0%2FmmhT6PkclqRLcbhpcmfjV%2BZHzLB8qfAi%2BDRU4J7b16cNrbH4M4H6aXeirtuwDsz9SNTCALjPD3nPii50x5bjaDymRCbLGJaViJlhHLN1Ow6jdmhpCctxLAlvo9NgFxm3D%2Fu2NQPwiWf9FVdhvhEG6Vly8qOi2MaRmFy8yFTx0b0SvJ%2BjYMrmPctoN9JnSdC5mfdzau3a1TJ84gRD0a5wkaVA1zbDs5bfISEIuUzebreLqY03dV4mOvdqIcMe8qigz88fk%2FfIioH6xyxKOexoSCnFTOiiupCcQLPyao9jLu6iayqViY7QaIOTqQohZmkAMwVOasAsI3Ngh4zF97Qt0cVNkXO9gWfLI8DtuMleWmqg1vJlKnSgc5lCkRRYwGs1287ugXlSQzo890KPDAEovaKCnZ2ZSfh7Y4sNknI6i%2Bfc2Se2MIkIXENms6KWD5sagAF6PIkVCPIyr5bSY76y5BhXOpOpDLxMWBGIHXYyvOSZpoeUNhScz3%2Fn5cgHedwmb5uddko9pCpEXhv7maXuDkWYUjFSmOYmW32UdTxCpB3kFhZkHlxVqBMVqOe6r52Bd95asWHOD6M8hURo7EX37Sc1wsOPYvupzYs%2BohnevKUlOCAA&amp;x-oss-signature-version=OSS4-HMAC-SHA256&amp;x-oss-credential=STS.NY21WrEi2UqGfnHVtoTVNZovH%2F20260807%2Feu-central-1%2Foss%2Faliyun_v4_request&amp;x-oss-signature=69e8decffe895002acc7672e246f59d8a4f84567963402dcdd2565541abba588</t>
  </si>
  <si>
    <t>https://jlcpcb.com/partdetail/7832696-BG306_02_A_2_0400_LG/C6868880</t>
  </si>
  <si>
    <t>C6868880</t>
  </si>
  <si>
    <t>https://jlc-prod-smt.oss-eu-central-1.aliyuncs.com/smtDataManualFile/8600572786679570432-C17531663.pdf?response-content-disposition=attachment%3B%20filename%3DC17531663.pdf%3B%20filename%2A%3DUTF-8%27%27C17531663.pdf&amp;x-oss-date=20260807T042237Z&amp;x-oss-expires=1800&amp;x-oss-security-token=CAISgAN1q6Ft5B2yfSjIr5qHeu3GqLYT4rOsZEj5snQ6WNlitardqjz2IHhMdHJsAOodtv0%2FmmhT6PkclqRLcbhpcmfjV%2BZHzLB8qfAi%2BDRU4J7b16cNrbH4M4H6aXeirtuwDsz9SNTCALjPD3nPii50x5bjaDymRCbLGJaViJlhHLN1Ow6jdmhpCctxLAlvo9NgFxm3D%2Fu2NQPwiWf9FVdhvhEG6Vly8qOi2MaRmFy8yFTx0b0SvJ%2BjYMrmPctoN9JnSdC5mfdzau3a1TJ84gRD0a5wkaVA1zbDs5bfISEIuUzebreLqY03dV4mOvdqIcMe8qigz88fk%2FfIioH6xyxKOexoSCnFTOiiupCcQLPyao9jLu6iayqViY7QaIOTqQohZmkAMwVOasAsI3Ngh4zF97Qt0cVNkXO9gWfLI8DtuMleWmqg1vJlKnSgc5lCkRRYwGs1287ugXlSQzo890KPDAEovaKCnZ2ZSfh7Y4sNknI6i%2Bfc2Se2MIkIXENms6KWD5sagAF6PIkVCPIyr5bSY76y5BhXOpOpDLxMWBGIHXYyvOSZpoeUNhScz3%2Fn5cgHedwmb5uddko9pCpEXhv7maXuDkWYUjFSmOYmW32UdTxCpB3kFhZkHlxVqBMVqOe6r52Bd95asWHOD6M8hURo7EX37Sc1wsOPYvupzYs%2BohnevKUlOCAA&amp;x-oss-signature-version=OSS4-HMAC-SHA256&amp;x-oss-credential=STS.NY21WrEi2UqGfnHVtoTVNZovH%2F20260807%2Feu-central-1%2Foss%2Faliyun_v4_request&amp;x-oss-signature=b1a7baba14f13e8ef2d506a9b61e255eae69ea07a2c57c9b8770216021a1e61e</t>
  </si>
  <si>
    <t>https://jlcpcb.com/partdetail/LittelfuseIXYS-LDA111STR/C17531663</t>
  </si>
  <si>
    <t>C17531663</t>
  </si>
  <si>
    <t>https://jlc-prod-smt.oss-eu-central-1.aliyuncs.com/smtDataManualFile/8757845658760437760-C3193927.pdf?response-content-disposition=attachment%3B%20filename%3DC3193927.pdf%3B%20filename%2A%3DUTF-8%27%27C3193927.pdf&amp;x-oss-date=20260807T042345Z&amp;x-oss-expires=1800&amp;x-oss-security-token=CAISgAN1q6Ft5B2yfSjIr5qHeu3GqLYT4rOsZEj5snQ6WNlitardqjz2IHhMdHJsAOodtv0%2FmmhT6PkclqRLcbhpcmfjV%2BZHzLB8qfAi%2BDRU4J7b16cNrbH4M4H6aXeirtuwDsz9SNTCALjPD3nPii50x5bjaDymRCbLGJaViJlhHLN1Ow6jdmhpCctxLAlvo9NgFxm3D%2Fu2NQPwiWf9FVdhvhEG6Vly8qOi2MaRmFy8yFTx0b0SvJ%2BjYMrmPctoN9JnSdC5mfdzau3a1TJ84gRD0a5wkaVA1zbDs5bfISEIuUzebreLqY03dV4mOvdqIcMe8qigz88fk%2FfIioH6xyxKOexoSCnFTOiiupCcQLPyao9jLu6iayqViY7QaIOTqQohZmkAMwVOasAsI3Ngh4zF97Qt0cVNkXO9gWfLI8DtuMleWmqg1vJlKnSgc5lCkRRYwGs1287ugXlSQzo890KPDAEovaKCnZ2ZSfh7Y4sNknI6i%2Bfc2Se2MIkIXENms6KWD5sagAF6PIkVCPIyr5bSY76y5BhXOpOpDLxMWBGIHXYyvOSZpoeUNhScz3%2Fn5cgHedwmb5uddko9pCpEXhv7maXuDkWYUjFSmOYmW32UdTxCpB3kFhZkHlxVqBMVqOe6r52Bd95asWHOD6M8hURo7EX37Sc1wsOPYvupzYs%2BohnevKUlOCAA&amp;x-oss-signature-version=OSS4-HMAC-SHA256&amp;x-oss-credential=STS.NY21WrEi2UqGfnHVtoTVNZovH%2F20260807%2Feu-central-1%2Foss%2Faliyun_v4_request&amp;x-oss-signature=1ec60107321ac34c4bff226888fe117b5f3433fec4fe5e1a1e952447a42274e4</t>
  </si>
  <si>
    <t>C3193927</t>
  </si>
  <si>
    <t>https://jlcpcb.com/partdetail/ROHMSemicon-RGT16BM65DTL/C3193927</t>
  </si>
  <si>
    <t>https://jlc-prod-smt.oss-eu-central-1.aliyuncs.com/smtDataManualFile/8586177051322175488-C37130.pdf?response-content-disposition=attachment%3B%20filename%3DC37130.pdf%3B%20filename%2A%3DUTF-8%27%27C37130.pdf&amp;x-oss-date=20260807T042449Z&amp;x-oss-expires=1800&amp;x-oss-security-token=CAISgAN1q6Ft5B2yfSjIr5qHeu3GqLYT4rOsZEj5snQ6WNlitardqjz2IHhMdHJsAOodtv0%2FmmhT6PkclqRLcbhpcmfjV%2BZHzLB8qfAi%2BDRU4J7b16cNrbH4M4H6aXeirtuwDsz9SNTCALjPD3nPii50x5bjaDymRCbLGJaViJlhHLN1Ow6jdmhpCctxLAlvo9NgFxm3D%2Fu2NQPwiWf9FVdhvhEG6Vly8qOi2MaRmFy8yFTx0b0SvJ%2BjYMrmPctoN9JnSdC5mfdzau3a1TJ84gRD0a5wkaVA1zbDs5bfISEIuUzebreLqY03dV4mOvdqIcMe8qigz88fk%2FfIioH6xyxKOexoSCnFTOiiupCcQLPyao9jLu6iayqViY7QaIOTqQohZmkAMwVOasAsI3Ngh4zF97Qt0cVNkXO9gWfLI8DtuMleWmqg1vJlKnSgc5lCkRRYwGs1287ugXlSQzo890KPDAEovaKCnZ2ZSfh7Y4sNknI6i%2Bfc2Se2MIkIXENms6KWD5sagAF6PIkVCPIyr5bSY76y5BhXOpOpDLxMWBGIHXYyvOSZpoeUNhScz3%2Fn5cgHedwmb5uddko9pCpEXhv7maXuDkWYUjFSmOYmW32UdTxCpB3kFhZkHlxVqBMVqOe6r52Bd95asWHOD6M8hURo7EX37Sc1wsOPYvupzYs%2BohnevKUlOCAA&amp;x-oss-signature-version=OSS4-HMAC-SHA256&amp;x-oss-credential=STS.NY21WrEi2UqGfnHVtoTVNZovH%2F20260807%2Feu-central-1%2Foss%2Faliyun_v4_request&amp;x-oss-signature=71e7d8fad5f4d617dbfbbd1404b9289187f632c4ac472259a65c8546136b7667</t>
  </si>
  <si>
    <t>https://jlcpcb.com/partdetail/Alpha_OmegaSemicon-AO3422/C37130</t>
  </si>
  <si>
    <t>C37130</t>
  </si>
  <si>
    <t>SOT-23</t>
  </si>
  <si>
    <t>https://jlc-prod-smt.oss-eu-central-1.aliyuncs.com/smtDataManualFile/8589810091047354368-C2091374.pdf?response-content-disposition=attachment%3B%20filename%3DC2091374.pdf%3B%20filename%2A%3DUTF-8%27%27C2091374.pdf&amp;x-oss-date=20260807T042731Z&amp;x-oss-expires=1800&amp;x-oss-security-token=CAISgAN1q6Ft5B2yfSjIr5qHeu3GqLYT4rOsZEj5snQ6WNlitardqjz2IHhMdHJsAOodtv0%2FmmhT6PkclqRLcbhpcmfjV%2BZHzLB8qfAi%2BDRU4J7b16cNrbH4M4H6aXeirtuwDsz9SNTCALjPD3nPii50x5bjaDymRCbLGJaViJlhHLN1Ow6jdmhpCctxLAlvo9NgFxm3D%2Fu2NQPwiWf9FVdhvhEG6Vly8qOi2MaRmFy8yFTx0b0SvJ%2BjYMrmPctoN9JnSdC5mfdzau3a1TJ84gRD0a5wkaVA1zbDs5bfISEIuUzebreLqY03dV4mOvdqIcMe8qigz88fk%2FfIioH6xyxKOexoSCnFTOiiupCcQLPyao9jLu6iayqViY7QaIOTqQohZmkAMwVOasAsI3Ngh4zF97Qt0cVNkXO9gWfLI8DtuMleWmqg1vJlKnSgc5lCkRRYwGs1287ugXlSQzo890KPDAEovaKCnZ2ZSfh7Y4sNknI6i%2Bfc2Se2MIkIXENms6KWD5sagAF6PIkVCPIyr5bSY76y5BhXOpOpDLxMWBGIHXYyvOSZpoeUNhScz3%2Fn5cgHedwmb5uddko9pCpEXhv7maXuDkWYUjFSmOYmW32UdTxCpB3kFhZkHlxVqBMVqOe6r52Bd95asWHOD6M8hURo7EX37Sc1wsOPYvupzYs%2BohnevKUlOCAA&amp;x-oss-signature-version=OSS4-HMAC-SHA256&amp;x-oss-credential=STS.NY21WrEi2UqGfnHVtoTVNZovH%2F20260807%2Feu-central-1%2Foss%2Faliyun_v4_request&amp;x-oss-signature=f6b46ac2cbce0e646347ca1981bcd4c1ac8fa259a18861511d6e20f6fc0dfcd7</t>
  </si>
  <si>
    <t>CRMA2010AF20M0FKEF</t>
  </si>
  <si>
    <t>https://jlcpcb.com/partdetail/VishayIntertech-CRMA2010AF20M0FKEF/C2091374</t>
  </si>
  <si>
    <t>C2091374</t>
  </si>
  <si>
    <t>https://jlc-prod-smt.oss-eu-central-1.aliyuncs.com/smtDataManualFile/8590415173204156416-C4262190.pdf?response-content-disposition=attachment%3B%20filename%3DC4262190.pdf%3B%20filename%2A%3DUTF-8%27%27C4262190.pdf&amp;x-oss-date=20260807T042829Z&amp;x-oss-expires=1800&amp;x-oss-security-token=CAISgAN1q6Ft5B2yfSjIr5qHeu3GqLYT4rOsZEj5snQ6WNlitardqjz2IHhMdHJsAOodtv0%2FmmhT6PkclqRLcbhpcmfjV%2BZHzLB8qfAi%2BDRU4J7b16cNrbH4M4H6aXeirtuwDsz9SNTCALjPD3nPii50x5bjaDymRCbLGJaViJlhHLN1Ow6jdmhpCctxLAlvo9NgFxm3D%2Fu2NQPwiWf9FVdhvhEG6Vly8qOi2MaRmFy8yFTx0b0SvJ%2BjYMrmPctoN9JnSdC5mfdzau3a1TJ84gRD0a5wkaVA1zbDs5bfISEIuUzebreLqY03dV4mOvdqIcMe8qigz88fk%2FfIioH6xyxKOexoSCnFTOiiupCcQLPyao9jLu6iayqViY7QaIOTqQohZmkAMwVOasAsI3Ngh4zF97Qt0cVNkXO9gWfLI8DtuMleWmqg1vJlKnSgc5lCkRRYwGs1287ugXlSQzo890KPDAEovaKCnZ2ZSfh7Y4sNknI6i%2Bfc2Se2MIkIXENms6KWD5sagAF6PIkVCPIyr5bSY76y5BhXOpOpDLxMWBGIHXYyvOSZpoeUNhScz3%2Fn5cgHedwmb5uddko9pCpEXhv7maXuDkWYUjFSmOYmW32UdTxCpB3kFhZkHlxVqBMVqOe6r52Bd95asWHOD6M8hURo7EX37Sc1wsOPYvupzYs%2BohnevKUlOCAA&amp;x-oss-signature-version=OSS4-HMAC-SHA256&amp;x-oss-credential=STS.NY21WrEi2UqGfnHVtoTVNZovH%2F20260807%2Feu-central-1%2Foss%2Faliyun_v4_request&amp;x-oss-signature=2a0d7a57bcf86c372cbfa912f9baf22d302747c2310df4a5325b6a99804d4c74</t>
  </si>
  <si>
    <t>3522300KFT</t>
  </si>
  <si>
    <t>https://jlcpcb.com/partdetail/TEConnectivity-3522300KFT/C4262190</t>
  </si>
  <si>
    <t>https://jlc-prod-smt.oss-eu-central-1.aliyuncs.com/smtDataManualFile/8755823741106700288-C109318.pdf?response-content-disposition=attachment%3B%20filename%3DC109318.pdf%3B%20filename%2A%3DUTF-8%27%27C109318.pdf&amp;x-oss-date=20260807T042931Z&amp;x-oss-expires=1800&amp;x-oss-security-token=CAISgAN1q6Ft5B2yfSjIr5qHeu3GqLYT4rOsZEj5snQ6WNlitardqjz2IHhMdHJsAOodtv0%2FmmhT6PkclqRLcbhpcmfjV%2BZHzLB8qfAi%2BDRU4J7b16cNrbH4M4H6aXeirtuwDsz9SNTCALjPD3nPii50x5bjaDymRCbLGJaViJlhHLN1Ow6jdmhpCctxLAlvo9NgFxm3D%2Fu2NQPwiWf9FVdhvhEG6Vly8qOi2MaRmFy8yFTx0b0SvJ%2BjYMrmPctoN9JnSdC5mfdzau3a1TJ84gRD0a5wkaVA1zbDs5bfISEIuUzebreLqY03dV4mOvdqIcMe8qigz88fk%2FfIioH6xyxKOexoSCnFTOiiupCcQLPyao9jLu6iayqViY7QaIOTqQohZmkAMwVOasAsI3Ngh4zF97Qt0cVNkXO9gWfLI8DtuMleWmqg1vJlKnSgc5lCkRRYwGs1287ugXlSQzo890KPDAEovaKCnZ2ZSfh7Y4sNknI6i%2Bfc2Se2MIkIXENms6KWD5sagAF6PIkVCPIyr5bSY76y5BhXOpOpDLxMWBGIHXYyvOSZpoeUNhScz3%2Fn5cgHedwmb5uddko9pCpEXhv7maXuDkWYUjFSmOYmW32UdTxCpB3kFhZkHlxVqBMVqOe6r52Bd95asWHOD6M8hURo7EX37Sc1wsOPYvupzYs%2BohnevKUlOCAA&amp;x-oss-signature-version=OSS4-HMAC-SHA256&amp;x-oss-credential=STS.NY21WrEi2UqGfnHVtoTVNZovH%2F20260807%2Feu-central-1%2Foss%2Faliyun_v4_request&amp;x-oss-signature=25d37449118d54c7ab443dc51c68eb6f3c83dde7348dc793f1a2d8d6bc13c6be</t>
  </si>
  <si>
    <t>RC0603FR-0710RL</t>
  </si>
  <si>
    <t>https://jlcpcb.com/partdetail/YAGEO-RC0603FR0710RL/C109318</t>
  </si>
  <si>
    <t>C109318</t>
  </si>
  <si>
    <t>https://jlc-prod-smt.oss-eu-central-1.aliyuncs.com/smtDataManualFile/8755571120823386112-C141697.pdf?response-content-disposition=attachment%3B%20filename%3DC141697.pdf%3B%20filename%2A%3DUTF-8%27%27C141697.pdf&amp;x-oss-date=20260807T043035Z&amp;x-oss-expires=1800&amp;x-oss-security-token=CAISgAN1q6Ft5B2yfSjIr5qHeu3GqLYT4rOsZEj5snQ6WNlitardqjz2IHhMdHJsAOodtv0%2FmmhT6PkclqRLcbhpcmfjV%2BZHzLB8qfAi%2BDRU4J7b16cNrbH4M4H6aXeirtuwDsz9SNTCALjPD3nPii50x5bjaDymRCbLGJaViJlhHLN1Ow6jdmhpCctxLAlvo9NgFxm3D%2Fu2NQPwiWf9FVdhvhEG6Vly8qOi2MaRmFy8yFTx0b0SvJ%2BjYMrmPctoN9JnSdC5mfdzau3a1TJ84gRD0a5wkaVA1zbDs5bfISEIuUzebreLqY03dV4mOvdqIcMe8qigz88fk%2FfIioH6xyxKOexoSCnFTOiiupCcQLPyao9jLu6iayqViY7QaIOTqQohZmkAMwVOasAsI3Ngh4zF97Qt0cVNkXO9gWfLI8DtuMleWmqg1vJlKnSgc5lCkRRYwGs1287ugXlSQzo890KPDAEovaKCnZ2ZSfh7Y4sNknI6i%2Bfc2Se2MIkIXENms6KWD5sagAF6PIkVCPIyr5bSY76y5BhXOpOpDLxMWBGIHXYyvOSZpoeUNhScz3%2Fn5cgHedwmb5uddko9pCpEXhv7maXuDkWYUjFSmOYmW32UdTxCpB3kFhZkHlxVqBMVqOe6r52Bd95asWHOD6M8hURo7EX37Sc1wsOPYvupzYs%2BohnevKUlOCAA&amp;x-oss-signature-version=OSS4-HMAC-SHA256&amp;x-oss-credential=STS.NY21WrEi2UqGfnHVtoTVNZovH%2F20260807%2Feu-central-1%2Foss%2Faliyun_v4_request&amp;x-oss-signature=9fe6302b63beb208a6666453cfc59dbe22574ddd079821204b7d87154b4130d9</t>
  </si>
  <si>
    <t>RC0805FR-0775RL</t>
  </si>
  <si>
    <t>https://jlcpcb.com/partdetail/YAGEO-RC0805FR0775RL/C141697</t>
  </si>
  <si>
    <t>C141697</t>
  </si>
  <si>
    <t>https://jlc-prod-smt.oss-eu-central-1.aliyuncs.com/smtDataManualFile/8716419542295400448-C22548.pdf?response-content-disposition=attachment%3B%20filename%3DC22548.pdf%3B%20filename%2A%3DUTF-8%27%27C22548.pdf&amp;x-oss-date=20260807T043131Z&amp;x-oss-expires=1800&amp;x-oss-security-token=CAISgAN1q6Ft5B2yfSjIr5qHeu3GqLYT4rOsZEj5snQ6WNlitardqjz2IHhMdHJsAOodtv0%2FmmhT6PkclqRLcbhpcmfjV%2BZHzLB8qfAi%2BDRU4J7b16cNrbH4M4H6aXeirtuwDsz9SNTCALjPD3nPii50x5bjaDymRCbLGJaViJlhHLN1Ow6jdmhpCctxLAlvo9NgFxm3D%2Fu2NQPwiWf9FVdhvhEG6Vly8qOi2MaRmFy8yFTx0b0SvJ%2BjYMrmPctoN9JnSdC5mfdzau3a1TJ84gRD0a5wkaVA1zbDs5bfISEIuUzebreLqY03dV4mOvdqIcMe8qigz88fk%2FfIioH6xyxKOexoSCnFTOiiupCcQLPyao9jLu6iayqViY7QaIOTqQohZmkAMwVOasAsI3Ngh4zF97Qt0cVNkXO9gWfLI8DtuMleWmqg1vJlKnSgc5lCkRRYwGs1287ugXlSQzo890KPDAEovaKCnZ2ZSfh7Y4sNknI6i%2Bfc2Se2MIkIXENms6KWD5sagAF6PIkVCPIyr5bSY76y5BhXOpOpDLxMWBGIHXYyvOSZpoeUNhScz3%2Fn5cgHedwmb5uddko9pCpEXhv7maXuDkWYUjFSmOYmW32UdTxCpB3kFhZkHlxVqBMVqOe6r52Bd95asWHOD6M8hURo7EX37Sc1wsOPYvupzYs%2BohnevKUlOCAA&amp;x-oss-signature-version=OSS4-HMAC-SHA256&amp;x-oss-credential=STS.NY21WrEi2UqGfnHVtoTVNZovH%2F20260807%2Feu-central-1%2Foss%2Faliyun_v4_request&amp;x-oss-signature=ffe07d1e3b525637f7f601708bc1395764cd4d7489c7095a7797d4d497559bf6</t>
  </si>
  <si>
    <t>RC0603FR-071KL</t>
  </si>
  <si>
    <t>https://jlcpcb.com/partdetail/YAGEO-RC0603FR071KL/C22548</t>
  </si>
  <si>
    <t>C22548</t>
  </si>
  <si>
    <t>https://jlc-prod-smt.oss-eu-central-1.aliyuncs.com/smtDataManualFile/8755542435072225280-C114065.pdf?response-content-disposition=attachment%3B%20filename%3DC114065.pdf%3B%20filename%2A%3DUTF-8%27%27C114065.pdf&amp;x-oss-date=20260807T043224Z&amp;x-oss-expires=1800&amp;x-oss-security-token=CAISgAN1q6Ft5B2yfSjIr5qHeu3GqLYT4rOsZEj5snQ6WNlitardqjz2IHhMdHJsAOodtv0%2FmmhT6PkclqRLcbhpcmfjV%2BZHzLB8qfAi%2BDRU4J7b16cNrbH4M4H6aXeirtuwDsz9SNTCALjPD3nPii50x5bjaDymRCbLGJaViJlhHLN1Ow6jdmhpCctxLAlvo9NgFxm3D%2Fu2NQPwiWf9FVdhvhEG6Vly8qOi2MaRmFy8yFTx0b0SvJ%2BjYMrmPctoN9JnSdC5mfdzau3a1TJ84gRD0a5wkaVA1zbDs5bfISEIuUzebreLqY03dV4mOvdqIcMe8qigz88fk%2FfIioH6xyxKOexoSCnFTOiiupCcQLPyao9jLu6iayqViY7QaIOTqQohZmkAMwVOasAsI3Ngh4zF97Qt0cVNkXO9gWfLI8DtuMleWmqg1vJlKnSgc5lCkRRYwGs1287ugXlSQzo890KPDAEovaKCnZ2ZSfh7Y4sNknI6i%2Bfc2Se2MIkIXENms6KWD5sagAF6PIkVCPIyr5bSY76y5BhXOpOpDLxMWBGIHXYyvOSZpoeUNhScz3%2Fn5cgHedwmb5uddko9pCpEXhv7maXuDkWYUjFSmOYmW32UdTxCpB3kFhZkHlxVqBMVqOe6r52Bd95asWHOD6M8hURo7EX37Sc1wsOPYvupzYs%2BohnevKUlOCAA&amp;x-oss-signature-version=OSS4-HMAC-SHA256&amp;x-oss-credential=STS.NY21WrEi2UqGfnHVtoTVNZovH%2F20260807%2Feu-central-1%2Foss%2Faliyun_v4_request&amp;x-oss-signature=43606a3446b7af4aae42423fb2f74e16399facee09ca19a29f0d443a0501b59f</t>
  </si>
  <si>
    <t>RC0603FR-0722KL</t>
  </si>
  <si>
    <t>https://jlcpcb.com/partdetail/YAGEO-RC0603FR0722KL/C114065</t>
  </si>
  <si>
    <t>C114065</t>
  </si>
  <si>
    <t>https://jlc-prod-smt.oss-eu-central-1.aliyuncs.com/smtDataManualFile/8755566388566208512-C114572.pdf?response-content-disposition=attachment%3B%20filename%3DC114572.pdf%3B%20filename%2A%3DUTF-8%27%27C114572.pdf&amp;x-oss-date=20260807T043321Z&amp;x-oss-expires=1800&amp;x-oss-security-token=CAISgAN1q6Ft5B2yfSjIr5qHeu3GqLYT4rOsZEj5snQ6WNlitardqjz2IHhMdHJsAOodtv0%2FmmhT6PkclqRLcbhpcmfjV%2BZHzLB8qfAi%2BDRU4J7b16cNrbH4M4H6aXeirtuwDsz9SNTCALjPD3nPii50x5bjaDymRCbLGJaViJlhHLN1Ow6jdmhpCctxLAlvo9NgFxm3D%2Fu2NQPwiWf9FVdhvhEG6Vly8qOi2MaRmFy8yFTx0b0SvJ%2BjYMrmPctoN9JnSdC5mfdzau3a1TJ84gRD0a5wkaVA1zbDs5bfISEIuUzebreLqY03dV4mOvdqIcMe8qigz88fk%2FfIioH6xyxKOexoSCnFTOiiupCcQLPyao9jLu6iayqViY7QaIOTqQohZmkAMwVOasAsI3Ngh4zF97Qt0cVNkXO9gWfLI8DtuMleWmqg1vJlKnSgc5lCkRRYwGs1287ugXlSQzo890KPDAEovaKCnZ2ZSfh7Y4sNknI6i%2Bfc2Se2MIkIXENms6KWD5sagAF6PIkVCPIyr5bSY76y5BhXOpOpDLxMWBGIHXYyvOSZpoeUNhScz3%2Fn5cgHedwmb5uddko9pCpEXhv7maXuDkWYUjFSmOYmW32UdTxCpB3kFhZkHlxVqBMVqOe6r52Bd95asWHOD6M8hURo7EX37Sc1wsOPYvupzYs%2BohnevKUlOCAA&amp;x-oss-signature-version=OSS4-HMAC-SHA256&amp;x-oss-credential=STS.NY21WrEi2UqGfnHVtoTVNZovH%2F20260807%2Feu-central-1%2Foss%2Faliyun_v4_request&amp;x-oss-signature=35c69d5a06840d5401a0582fd97b86d30a3fa66ec1fcb8e5b679f8da3bab3958</t>
  </si>
  <si>
    <t>RC0805FR-072KL</t>
  </si>
  <si>
    <t>https://jlcpcb.com/partdetail/YAGEO-RC0805FR072KL/C114572</t>
  </si>
  <si>
    <t>C114572</t>
  </si>
  <si>
    <t>https://jlc-prod-smt.oss-eu-central-1.aliyuncs.com/smtDataManualFile/8588903739336110080-C221766.pdf?response-content-disposition=attachment%3B%20filename%3DC221766.pdf%3B%20filename%2A%3DUTF-8%27%27C221766.pdf&amp;x-oss-date=20260807T043415Z&amp;x-oss-expires=1800&amp;x-oss-security-token=CAISgAN1q6Ft5B2yfSjIr5qHeu3GqLYT4rOsZEj5snQ6WNlitardqjz2IHhMdHJsAOodtv0%2FmmhT6PkclqRLcbhpcmfjV%2BZHzLB8qfAi%2BDRU4J7b16cNrbH4M4H6aXeirtuwDsz9SNTCALjPD3nPii50x5bjaDymRCbLGJaViJlhHLN1Ow6jdmhpCctxLAlvo9NgFxm3D%2Fu2NQPwiWf9FVdhvhEG6Vly8qOi2MaRmFy8yFTx0b0SvJ%2BjYMrmPctoN9JnSdC5mfdzau3a1TJ84gRD0a5wkaVA1zbDs5bfISEIuUzebreLqY03dV4mOvdqIcMe8qigz88fk%2FfIioH6xyxKOexoSCnFTOiiupCcQLPyao9jLu6iayqViY7QaIOTqQohZmkAMwVOasAsI3Ngh4zF97Qt0cVNkXO9gWfLI8DtuMleWmqg1vJlKnSgc5lCkRRYwGs1287ugXlSQzo890KPDAEovaKCnZ2ZSfh7Y4sNknI6i%2Bfc2Se2MIkIXENms6KWD5sagAF6PIkVCPIyr5bSY76y5BhXOpOpDLxMWBGIHXYyvOSZpoeUNhScz3%2Fn5cgHedwmb5uddko9pCpEXhv7maXuDkWYUjFSmOYmW32UdTxCpB3kFhZkHlxVqBMVqOe6r52Bd95asWHOD6M8hURo7EX37Sc1wsOPYvupzYs%2BohnevKUlOCAA&amp;x-oss-signature-version=OSS4-HMAC-SHA256&amp;x-oss-credential=STS.NY21WrEi2UqGfnHVtoTVNZovH%2F20260807%2Feu-central-1%2Foss%2Faliyun_v4_request&amp;x-oss-signature=4d0f8432ad6fcfd5c3d997eba4e1dfc5786689db6d1457745de1567693d3794b</t>
  </si>
  <si>
    <t>SMD-4P,6.2x6.2mm</t>
  </si>
  <si>
    <t>KSC741JLFS</t>
  </si>
  <si>
    <t>https://jlcpcb.com/partdetail/CK-KSC741JLFS/C221766</t>
  </si>
  <si>
    <t>C221766</t>
  </si>
  <si>
    <t>https://jlc-prod-smt.oss-eu-central-1.aliyuncs.com/smtDataManualFile/8558282382320029696-C249001.pdf?response-content-disposition=attachment%3B%20filename%3DC249001.pdf%3B%20filename%2A%3DUTF-8%27%27C249001.pdf&amp;x-oss-date=20260807T044546Z&amp;x-oss-expires=1800&amp;x-oss-security-token=CAISgAN1q6Ft5B2yfSjIr5qHeu3GqLYT4rOsZEj5snQ6WNlitardqjz2IHhMdHJsAOodtv0%2FmmhT6PkclqRLcbhpcmfjV%2BZHzLB8qfAi%2BDRU4J7b16cNrbH4M4H6aXeirtuwDsz9SNTCALjPD3nPii50x5bjaDymRCbLGJaViJlhHLN1Ow6jdmhpCctxLAlvo9NgFxm3D%2Fu2NQPwiWf9FVdhvhEG6Vly8qOi2MaRmFy8yFTx0b0SvJ%2BjYMrmPctoN9JnSdC5mfdzau3a1TJ84gRD0a5wkaVA1zbDs5bfISEIuUzebreLqY03dV4mOvdqIcMe8qigz88fk%2FfIioH6xyxKOexoSCnFTOiiupCcQLPyao9jLu6iayqViY7QaIOTqQohZmkAMwVOasAsI3Ngh4zF97Qt0cVNkXO9gWfLI8DtuMleWmqg1vJlKnSgc5lCkRRYwGs1287ugXlSQzo890KPDAEovaKCnZ2ZSfh7Y4sNknI6i%2Bfc2Se2MIkIXENms6KWD5sagAF6PIkVCPIyr5bSY76y5BhXOpOpDLxMWBGIHXYyvOSZpoeUNhScz3%2Fn5cgHedwmb5uddko9pCpEXhv7maXuDkWYUjFSmOYmW32UdTxCpB3kFhZkHlxVqBMVqOe6r52Bd95asWHOD6M8hURo7EX37Sc1wsOPYvupzYs%2BohnevKUlOCAA&amp;x-oss-signature-version=OSS4-HMAC-SHA256&amp;x-oss-credential=STS.NY21WrEi2UqGfnHVtoTVNZovH%2F20260807%2Feu-central-1%2Foss%2Faliyun_v4_request&amp;x-oss-signature=9711a028d6c4f1aa6e12433db67abe7ab1c7e9fe9c79913d16b5073b2c8f9cb6</t>
  </si>
  <si>
    <t>SMD-4P,3.2x2.5mm</t>
  </si>
  <si>
    <t>ATB322524-0110-T000</t>
  </si>
  <si>
    <t>https://jlcpcb.com/partdetail/TDK-ATB322524_0110T000/C249001</t>
  </si>
  <si>
    <t>C249001</t>
  </si>
  <si>
    <t>https://jlc-prod-smt.oss-eu-central-1.aliyuncs.com/smtDataManualFile/8590904656052895744-C7203002.pdf?response-content-disposition=attachment%3B%20filename%3DC7203002.pdf%3B%20filename%2A%3DUTF-8%27%27C7203002.pdf&amp;x-oss-date=20260807T044817Z&amp;x-oss-expires=1800&amp;x-oss-security-token=CAISgAN1q6Ft5B2yfSjIr5qHeu3GqLYT4rOsZEj5snQ6WNlitardqjz2IHhMdHJsAOodtv0%2FmmhT6PkclqRLcbhpcmfjV%2BZHzLB8qfAi%2BDRU4J7b16cNrbH4M4H6aXeirtuwDsz9SNTCALjPD3nPii50x5bjaDymRCbLGJaViJlhHLN1Ow6jdmhpCctxLAlvo9NgFxm3D%2Fu2NQPwiWf9FVdhvhEG6Vly8qOi2MaRmFy8yFTx0b0SvJ%2BjYMrmPctoN9JnSdC5mfdzau3a1TJ84gRD0a5wkaVA1zbDs5bfISEIuUzebreLqY03dV4mOvdqIcMe8qigz88fk%2FfIioH6xyxKOexoSCnFTOiiupCcQLPyao9jLu6iayqViY7QaIOTqQohZmkAMwVOasAsI3Ngh4zF97Qt0cVNkXO9gWfLI8DtuMleWmqg1vJlKnSgc5lCkRRYwGs1287ugXlSQzo890KPDAEovaKCnZ2ZSfh7Y4sNknI6i%2Bfc2Se2MIkIXENms6KWD5sagAF6PIkVCPIyr5bSY76y5BhXOpOpDLxMWBGIHXYyvOSZpoeUNhScz3%2Fn5cgHedwmb5uddko9pCpEXhv7maXuDkWYUjFSmOYmW32UdTxCpB3kFhZkHlxVqBMVqOe6r52Bd95asWHOD6M8hURo7EX37Sc1wsOPYvupzYs%2BohnevKUlOCAA&amp;x-oss-signature-version=OSS4-HMAC-SHA256&amp;x-oss-credential=STS.NY21WrEi2UqGfnHVtoTVNZovH%2F20260807%2Feu-central-1%2Foss%2Faliyun_v4_request&amp;x-oss-signature=0ec28366ffd21adbe7238ef793b711defb20315fc662c6aba1453f4ddd5f0b69</t>
  </si>
  <si>
    <t>Raspberry Pi Pico</t>
  </si>
  <si>
    <t>https://jlcpcb.com/partdetail/RaspberryPi-Raspberry_PiPico/C7203002</t>
  </si>
  <si>
    <t>C7203002</t>
  </si>
  <si>
    <t>TOTAL</t>
  </si>
  <si>
    <t>SW1, SW2, SW3</t>
  </si>
  <si>
    <t>no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</si>
</sst>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1" xfId="0" quotePrefix="1" applyBorder="1"/>
    <xf numFmtId="0" fontId="0" fillId="0" borderId="1" xfId="0" applyBorder="1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61921-D5F5-4198-BCE2-1468D5A25527}">
  <dimension ref="A1:J49"/>
  <sheetViews>
    <sheetView tabSelected="1" zoomScale="130" zoomScaleNormal="130" workbookViewId="0">
      <selection activeCell="L23" sqref="L23"/>
    </sheetView>
  </sheetViews>
  <sheetFormatPr defaultColWidth="11.42578125" defaultRowHeight="15" x14ac:dyDescent="0.25"/>
  <cols>
    <col min="1" max="1" width="19.85546875" customWidth="1"/>
    <col min="2" max="2" width="20.85546875" customWidth="1"/>
    <col min="3" max="3" width="20" customWidth="1"/>
    <col min="4" max="4" width="15.7109375" style="10" customWidth="1"/>
    <col min="5" max="5" width="8.5703125" customWidth="1"/>
    <col min="6" max="6" width="22" style="10" customWidth="1"/>
    <col min="7" max="7" width="26.5703125" customWidth="1"/>
    <col min="8" max="8" width="12.5703125" customWidth="1"/>
    <col min="9" max="9" width="5.85546875" style="12" customWidth="1"/>
    <col min="10" max="10" width="7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6"/>
    </row>
    <row r="2" spans="1:10" ht="13.15" customHeight="1" x14ac:dyDescent="0.25">
      <c r="A2" s="5" t="s">
        <v>9</v>
      </c>
      <c r="B2" s="5" t="s">
        <v>33</v>
      </c>
      <c r="C2" s="7" t="s">
        <v>55</v>
      </c>
      <c r="D2" s="9" t="s">
        <v>65</v>
      </c>
      <c r="E2" s="8">
        <v>0.1014</v>
      </c>
      <c r="F2" s="9" t="s">
        <v>66</v>
      </c>
      <c r="G2" s="8" t="s">
        <v>68</v>
      </c>
      <c r="H2" s="8" t="s">
        <v>67</v>
      </c>
      <c r="I2" s="11">
        <v>2</v>
      </c>
      <c r="J2" s="3">
        <f>E2*I2</f>
        <v>0.20280000000000001</v>
      </c>
    </row>
    <row r="3" spans="1:10" ht="13.15" customHeight="1" x14ac:dyDescent="0.25">
      <c r="A3" s="5" t="s">
        <v>10</v>
      </c>
      <c r="B3" s="5" t="s">
        <v>34</v>
      </c>
      <c r="C3" s="1" t="s">
        <v>73</v>
      </c>
      <c r="D3" s="9" t="s">
        <v>69</v>
      </c>
      <c r="E3" s="8">
        <v>0.48980000000000001</v>
      </c>
      <c r="F3" s="9" t="s">
        <v>70</v>
      </c>
      <c r="G3" s="8" t="s">
        <v>71</v>
      </c>
      <c r="H3" s="8" t="s">
        <v>72</v>
      </c>
      <c r="I3" s="11">
        <v>1</v>
      </c>
      <c r="J3" s="3">
        <f t="shared" ref="J3:J26" si="0">E3*I3</f>
        <v>0.48980000000000001</v>
      </c>
    </row>
    <row r="4" spans="1:10" ht="13.15" customHeight="1" x14ac:dyDescent="0.25">
      <c r="A4" s="5" t="s">
        <v>11</v>
      </c>
      <c r="B4" s="5" t="s">
        <v>82</v>
      </c>
      <c r="C4" s="1" t="s">
        <v>56</v>
      </c>
      <c r="D4" s="9" t="s">
        <v>74</v>
      </c>
      <c r="E4" s="8">
        <v>2.64E-2</v>
      </c>
      <c r="F4" s="9" t="s">
        <v>75</v>
      </c>
      <c r="G4" s="8" t="s">
        <v>76</v>
      </c>
      <c r="H4" s="8" t="s">
        <v>77</v>
      </c>
      <c r="I4" s="11">
        <v>1</v>
      </c>
      <c r="J4" s="3">
        <f t="shared" si="0"/>
        <v>2.64E-2</v>
      </c>
    </row>
    <row r="5" spans="1:10" ht="13.9" customHeight="1" x14ac:dyDescent="0.25">
      <c r="A5" s="5" t="s">
        <v>12</v>
      </c>
      <c r="B5" s="5" t="s">
        <v>35</v>
      </c>
      <c r="C5" s="1" t="s">
        <v>78</v>
      </c>
      <c r="D5" s="9" t="s">
        <v>79</v>
      </c>
      <c r="E5" s="8">
        <v>2.3E-2</v>
      </c>
      <c r="F5" s="9" t="s">
        <v>35</v>
      </c>
      <c r="G5" s="8" t="s">
        <v>81</v>
      </c>
      <c r="H5" s="8" t="s">
        <v>80</v>
      </c>
      <c r="I5" s="11">
        <v>4</v>
      </c>
      <c r="J5" s="3">
        <f t="shared" si="0"/>
        <v>9.1999999999999998E-2</v>
      </c>
    </row>
    <row r="6" spans="1:10" ht="13.9" customHeight="1" x14ac:dyDescent="0.25">
      <c r="A6" s="5" t="s">
        <v>13</v>
      </c>
      <c r="B6" s="5" t="s">
        <v>36</v>
      </c>
      <c r="C6" s="1" t="s">
        <v>57</v>
      </c>
      <c r="D6" s="9" t="s">
        <v>83</v>
      </c>
      <c r="E6" s="8">
        <v>0.27289999999999998</v>
      </c>
      <c r="F6" s="9" t="s">
        <v>36</v>
      </c>
      <c r="G6" s="8" t="s">
        <v>84</v>
      </c>
      <c r="H6" s="8" t="s">
        <v>85</v>
      </c>
      <c r="I6" s="11">
        <v>1</v>
      </c>
      <c r="J6" s="3">
        <f t="shared" si="0"/>
        <v>0.27289999999999998</v>
      </c>
    </row>
    <row r="7" spans="1:10" ht="13.15" customHeight="1" x14ac:dyDescent="0.25">
      <c r="A7" s="5" t="s">
        <v>14</v>
      </c>
      <c r="B7" s="5" t="s">
        <v>37</v>
      </c>
      <c r="C7" s="1" t="s">
        <v>58</v>
      </c>
      <c r="D7" s="9" t="s">
        <v>86</v>
      </c>
      <c r="E7" s="8">
        <v>0.2382</v>
      </c>
      <c r="F7" s="9" t="s">
        <v>87</v>
      </c>
      <c r="G7" s="8" t="s">
        <v>88</v>
      </c>
      <c r="H7" s="8" t="s">
        <v>89</v>
      </c>
      <c r="I7" s="11">
        <v>2</v>
      </c>
      <c r="J7" s="3">
        <f t="shared" si="0"/>
        <v>0.47639999999999999</v>
      </c>
    </row>
    <row r="8" spans="1:10" ht="13.15" customHeight="1" x14ac:dyDescent="0.25">
      <c r="A8" s="5" t="s">
        <v>15</v>
      </c>
      <c r="B8" s="5" t="s">
        <v>38</v>
      </c>
      <c r="C8" s="1" t="s">
        <v>90</v>
      </c>
      <c r="D8" s="9" t="s">
        <v>91</v>
      </c>
      <c r="E8" s="8">
        <v>0.10199999999999999</v>
      </c>
      <c r="F8" s="9" t="s">
        <v>38</v>
      </c>
      <c r="G8" s="8" t="s">
        <v>92</v>
      </c>
      <c r="H8" s="8" t="s">
        <v>93</v>
      </c>
      <c r="I8" s="11">
        <v>1</v>
      </c>
      <c r="J8" s="3">
        <f t="shared" si="0"/>
        <v>0.10199999999999999</v>
      </c>
    </row>
    <row r="9" spans="1:10" ht="14.45" customHeight="1" x14ac:dyDescent="0.25">
      <c r="A9" s="5" t="s">
        <v>16</v>
      </c>
      <c r="B9" s="5" t="s">
        <v>39</v>
      </c>
      <c r="C9" s="1" t="s">
        <v>58</v>
      </c>
      <c r="D9" s="9" t="s">
        <v>94</v>
      </c>
      <c r="E9" s="8">
        <v>9.8000000000000004E-2</v>
      </c>
      <c r="F9" s="9" t="s">
        <v>95</v>
      </c>
      <c r="G9" s="8" t="s">
        <v>96</v>
      </c>
      <c r="H9" s="8" t="s">
        <v>97</v>
      </c>
      <c r="I9" s="11">
        <v>1</v>
      </c>
      <c r="J9" s="3">
        <f t="shared" si="0"/>
        <v>9.8000000000000004E-2</v>
      </c>
    </row>
    <row r="10" spans="1:10" ht="13.15" customHeight="1" x14ac:dyDescent="0.25">
      <c r="A10" s="5" t="s">
        <v>17</v>
      </c>
      <c r="B10" s="5" t="s">
        <v>40</v>
      </c>
      <c r="C10" s="1"/>
      <c r="D10" s="9" t="s">
        <v>98</v>
      </c>
      <c r="E10" s="8">
        <v>4.0121000000000002</v>
      </c>
      <c r="F10" s="9">
        <v>732511150</v>
      </c>
      <c r="G10" s="8" t="s">
        <v>99</v>
      </c>
      <c r="H10" s="8" t="s">
        <v>100</v>
      </c>
      <c r="I10" s="11">
        <v>1</v>
      </c>
      <c r="J10" s="3">
        <f t="shared" si="0"/>
        <v>4.0121000000000002</v>
      </c>
    </row>
    <row r="11" spans="1:10" ht="13.15" customHeight="1" x14ac:dyDescent="0.25">
      <c r="A11" s="5" t="s">
        <v>18</v>
      </c>
      <c r="B11" s="5" t="s">
        <v>41</v>
      </c>
      <c r="C11" s="1"/>
      <c r="D11" s="9" t="s">
        <v>101</v>
      </c>
      <c r="E11" s="8">
        <v>7.9600000000000004E-2</v>
      </c>
      <c r="F11" s="9" t="s">
        <v>102</v>
      </c>
      <c r="G11" s="8" t="s">
        <v>103</v>
      </c>
      <c r="H11" s="8" t="s">
        <v>104</v>
      </c>
      <c r="I11" s="11">
        <v>1</v>
      </c>
      <c r="J11" s="3">
        <f t="shared" si="0"/>
        <v>7.9600000000000004E-2</v>
      </c>
    </row>
    <row r="12" spans="1:10" ht="13.15" customHeight="1" x14ac:dyDescent="0.25">
      <c r="A12" s="5" t="s">
        <v>19</v>
      </c>
      <c r="B12" s="5" t="s">
        <v>42</v>
      </c>
      <c r="C12" s="1"/>
      <c r="D12" s="9" t="s">
        <v>105</v>
      </c>
      <c r="E12" s="8">
        <v>0.45429999999999998</v>
      </c>
      <c r="F12" s="9" t="s">
        <v>42</v>
      </c>
      <c r="G12" s="8" t="s">
        <v>106</v>
      </c>
      <c r="H12" s="8" t="s">
        <v>107</v>
      </c>
      <c r="I12" s="11">
        <v>1</v>
      </c>
      <c r="J12" s="3">
        <f t="shared" si="0"/>
        <v>0.45429999999999998</v>
      </c>
    </row>
    <row r="13" spans="1:10" ht="13.9" customHeight="1" x14ac:dyDescent="0.25">
      <c r="A13" s="5" t="s">
        <v>20</v>
      </c>
      <c r="B13" s="5" t="s">
        <v>43</v>
      </c>
      <c r="C13" s="1" t="s">
        <v>59</v>
      </c>
      <c r="D13" s="9" t="s">
        <v>108</v>
      </c>
      <c r="E13" s="8">
        <v>1.7943</v>
      </c>
      <c r="F13" s="9" t="s">
        <v>43</v>
      </c>
      <c r="G13" s="8" t="s">
        <v>109</v>
      </c>
      <c r="H13" s="8" t="s">
        <v>110</v>
      </c>
      <c r="I13" s="11">
        <v>1</v>
      </c>
      <c r="J13" s="3">
        <f t="shared" si="0"/>
        <v>1.7943</v>
      </c>
    </row>
    <row r="14" spans="1:10" ht="13.15" customHeight="1" x14ac:dyDescent="0.25">
      <c r="A14" s="5" t="s">
        <v>21</v>
      </c>
      <c r="B14" s="5" t="s">
        <v>44</v>
      </c>
      <c r="C14" s="1" t="s">
        <v>60</v>
      </c>
      <c r="D14" s="9" t="s">
        <v>111</v>
      </c>
      <c r="E14" s="8">
        <v>1.6262000000000001</v>
      </c>
      <c r="F14" s="9" t="s">
        <v>44</v>
      </c>
      <c r="G14" s="8" t="s">
        <v>113</v>
      </c>
      <c r="H14" s="8" t="s">
        <v>112</v>
      </c>
      <c r="I14" s="11">
        <v>1</v>
      </c>
      <c r="J14" s="3">
        <f t="shared" si="0"/>
        <v>1.6262000000000001</v>
      </c>
    </row>
    <row r="15" spans="1:10" ht="13.9" customHeight="1" x14ac:dyDescent="0.25">
      <c r="A15" s="5" t="s">
        <v>22</v>
      </c>
      <c r="B15" s="5" t="s">
        <v>45</v>
      </c>
      <c r="C15" s="1" t="s">
        <v>117</v>
      </c>
      <c r="D15" s="9" t="s">
        <v>114</v>
      </c>
      <c r="E15" s="8">
        <v>0.1454</v>
      </c>
      <c r="F15" s="9" t="s">
        <v>45</v>
      </c>
      <c r="G15" s="8" t="s">
        <v>115</v>
      </c>
      <c r="H15" s="8" t="s">
        <v>116</v>
      </c>
      <c r="I15" s="11">
        <v>2</v>
      </c>
      <c r="J15" s="3">
        <f t="shared" si="0"/>
        <v>0.2908</v>
      </c>
    </row>
    <row r="16" spans="1:10" ht="13.15" customHeight="1" x14ac:dyDescent="0.25">
      <c r="A16" s="5" t="s">
        <v>23</v>
      </c>
      <c r="B16" s="5" t="s">
        <v>46</v>
      </c>
      <c r="C16" s="1" t="s">
        <v>61</v>
      </c>
      <c r="D16" s="9" t="s">
        <v>118</v>
      </c>
      <c r="E16" s="8">
        <v>0.85519999999999996</v>
      </c>
      <c r="F16" s="9" t="s">
        <v>119</v>
      </c>
      <c r="G16" s="8" t="s">
        <v>120</v>
      </c>
      <c r="H16" s="8" t="s">
        <v>121</v>
      </c>
      <c r="I16" s="11">
        <v>1</v>
      </c>
      <c r="J16" s="3">
        <f t="shared" si="0"/>
        <v>0.85519999999999996</v>
      </c>
    </row>
    <row r="17" spans="1:10" ht="13.9" customHeight="1" x14ac:dyDescent="0.25">
      <c r="A17" s="5" t="s">
        <v>24</v>
      </c>
      <c r="B17" s="5" t="s">
        <v>47</v>
      </c>
      <c r="C17" s="1" t="s">
        <v>62</v>
      </c>
      <c r="D17" s="9" t="s">
        <v>122</v>
      </c>
      <c r="E17" s="8">
        <v>1.012</v>
      </c>
      <c r="F17" s="9" t="s">
        <v>123</v>
      </c>
      <c r="G17" s="8" t="s">
        <v>124</v>
      </c>
      <c r="H17" s="8" t="s">
        <v>123</v>
      </c>
      <c r="I17" s="11">
        <v>1</v>
      </c>
      <c r="J17" s="3">
        <f t="shared" si="0"/>
        <v>1.012</v>
      </c>
    </row>
    <row r="18" spans="1:10" ht="13.9" customHeight="1" x14ac:dyDescent="0.25">
      <c r="A18" s="5" t="s">
        <v>25</v>
      </c>
      <c r="B18" s="5" t="s">
        <v>48</v>
      </c>
      <c r="C18" s="1" t="s">
        <v>63</v>
      </c>
      <c r="D18" s="9" t="s">
        <v>125</v>
      </c>
      <c r="E18" s="8">
        <v>1.0999999999999999E-2</v>
      </c>
      <c r="F18" s="9" t="s">
        <v>126</v>
      </c>
      <c r="G18" s="8" t="s">
        <v>127</v>
      </c>
      <c r="H18" s="8" t="s">
        <v>128</v>
      </c>
      <c r="I18" s="11">
        <v>2</v>
      </c>
      <c r="J18" s="3">
        <f t="shared" si="0"/>
        <v>2.1999999999999999E-2</v>
      </c>
    </row>
    <row r="19" spans="1:10" ht="13.9" customHeight="1" x14ac:dyDescent="0.25">
      <c r="A19" s="5" t="s">
        <v>26</v>
      </c>
      <c r="B19" s="5" t="s">
        <v>49</v>
      </c>
      <c r="C19" s="1" t="s">
        <v>64</v>
      </c>
      <c r="D19" s="9" t="s">
        <v>129</v>
      </c>
      <c r="E19" s="8">
        <v>8.0000000000000002E-3</v>
      </c>
      <c r="F19" s="9" t="s">
        <v>130</v>
      </c>
      <c r="G19" s="8" t="s">
        <v>131</v>
      </c>
      <c r="H19" s="8" t="s">
        <v>132</v>
      </c>
      <c r="I19" s="11">
        <v>1</v>
      </c>
      <c r="J19" s="3">
        <f t="shared" si="0"/>
        <v>8.0000000000000002E-3</v>
      </c>
    </row>
    <row r="20" spans="1:10" ht="13.15" customHeight="1" x14ac:dyDescent="0.25">
      <c r="A20" s="5" t="s">
        <v>27</v>
      </c>
      <c r="B20" s="5" t="s">
        <v>50</v>
      </c>
      <c r="C20" s="1" t="s">
        <v>63</v>
      </c>
      <c r="D20" s="9" t="s">
        <v>133</v>
      </c>
      <c r="E20" s="8">
        <v>6.1999999999999998E-3</v>
      </c>
      <c r="F20" s="9" t="s">
        <v>134</v>
      </c>
      <c r="G20" s="8" t="s">
        <v>135</v>
      </c>
      <c r="H20" s="8" t="s">
        <v>136</v>
      </c>
      <c r="I20" s="11">
        <v>5</v>
      </c>
      <c r="J20" s="3">
        <f t="shared" si="0"/>
        <v>3.1E-2</v>
      </c>
    </row>
    <row r="21" spans="1:10" ht="12.6" customHeight="1" x14ac:dyDescent="0.25">
      <c r="A21" s="5" t="s">
        <v>28</v>
      </c>
      <c r="B21" s="5" t="s">
        <v>51</v>
      </c>
      <c r="C21" s="1" t="s">
        <v>63</v>
      </c>
      <c r="D21" s="9" t="s">
        <v>137</v>
      </c>
      <c r="E21" s="8">
        <v>5.3E-3</v>
      </c>
      <c r="F21" s="9" t="s">
        <v>138</v>
      </c>
      <c r="G21" s="8" t="s">
        <v>139</v>
      </c>
      <c r="H21" s="8" t="s">
        <v>140</v>
      </c>
      <c r="I21" s="11">
        <v>1</v>
      </c>
      <c r="J21" s="3">
        <f t="shared" si="0"/>
        <v>5.3E-3</v>
      </c>
    </row>
    <row r="22" spans="1:10" ht="13.15" customHeight="1" x14ac:dyDescent="0.25">
      <c r="A22" s="5" t="s">
        <v>29</v>
      </c>
      <c r="B22" s="5" t="s">
        <v>52</v>
      </c>
      <c r="C22" s="1" t="s">
        <v>64</v>
      </c>
      <c r="D22" s="9" t="s">
        <v>141</v>
      </c>
      <c r="E22" s="8">
        <v>8.8999999999999999E-3</v>
      </c>
      <c r="F22" s="9" t="s">
        <v>142</v>
      </c>
      <c r="G22" s="8" t="s">
        <v>143</v>
      </c>
      <c r="H22" s="8" t="s">
        <v>144</v>
      </c>
      <c r="I22" s="11">
        <v>1</v>
      </c>
      <c r="J22" s="3">
        <f t="shared" si="0"/>
        <v>8.8999999999999999E-3</v>
      </c>
    </row>
    <row r="23" spans="1:10" ht="13.15" customHeight="1" x14ac:dyDescent="0.25">
      <c r="A23" s="5" t="s">
        <v>160</v>
      </c>
      <c r="B23" s="9" t="s">
        <v>147</v>
      </c>
      <c r="C23" s="1" t="s">
        <v>146</v>
      </c>
      <c r="D23" s="9" t="s">
        <v>145</v>
      </c>
      <c r="E23" s="8">
        <v>0.68220000000000003</v>
      </c>
      <c r="F23" s="9" t="s">
        <v>147</v>
      </c>
      <c r="G23" s="8" t="s">
        <v>148</v>
      </c>
      <c r="H23" s="8" t="s">
        <v>149</v>
      </c>
      <c r="I23" s="11">
        <v>3</v>
      </c>
      <c r="J23" s="3">
        <f t="shared" si="0"/>
        <v>2.0466000000000002</v>
      </c>
    </row>
    <row r="24" spans="1:10" ht="13.15" customHeight="1" x14ac:dyDescent="0.25">
      <c r="A24" s="5" t="s">
        <v>30</v>
      </c>
      <c r="B24" s="5" t="s">
        <v>53</v>
      </c>
      <c r="C24" s="1" t="s">
        <v>151</v>
      </c>
      <c r="D24" s="9" t="s">
        <v>150</v>
      </c>
      <c r="E24" s="8">
        <v>0.80510000000000004</v>
      </c>
      <c r="F24" s="9" t="s">
        <v>152</v>
      </c>
      <c r="G24" s="8" t="s">
        <v>153</v>
      </c>
      <c r="H24" s="8" t="s">
        <v>154</v>
      </c>
      <c r="I24" s="11">
        <v>2</v>
      </c>
      <c r="J24" s="3">
        <f t="shared" si="0"/>
        <v>1.6102000000000001</v>
      </c>
    </row>
    <row r="25" spans="1:10" ht="13.15" customHeight="1" x14ac:dyDescent="0.25">
      <c r="A25" s="5" t="s">
        <v>31</v>
      </c>
      <c r="B25" s="5" t="s">
        <v>156</v>
      </c>
      <c r="C25" s="1"/>
      <c r="D25" s="9" t="s">
        <v>155</v>
      </c>
      <c r="E25" s="8">
        <v>7.0671999999999997</v>
      </c>
      <c r="F25" s="9" t="s">
        <v>156</v>
      </c>
      <c r="G25" s="8" t="s">
        <v>157</v>
      </c>
      <c r="H25" s="8" t="s">
        <v>158</v>
      </c>
      <c r="I25" s="11">
        <v>1</v>
      </c>
      <c r="J25" s="3">
        <f t="shared" si="0"/>
        <v>7.0671999999999997</v>
      </c>
    </row>
    <row r="26" spans="1:10" ht="13.15" customHeight="1" x14ac:dyDescent="0.25">
      <c r="A26" s="6" t="s">
        <v>32</v>
      </c>
      <c r="B26" s="6" t="s">
        <v>54</v>
      </c>
      <c r="C26" s="1"/>
      <c r="D26" s="9"/>
      <c r="E26" s="8"/>
      <c r="F26" s="9"/>
      <c r="G26" s="8" t="s">
        <v>161</v>
      </c>
      <c r="H26" s="8"/>
      <c r="I26" s="11">
        <v>1</v>
      </c>
      <c r="J26" s="3">
        <f t="shared" si="0"/>
        <v>0</v>
      </c>
    </row>
    <row r="27" spans="1:10" ht="14.45" customHeight="1" x14ac:dyDescent="0.25">
      <c r="I27" s="3" t="s">
        <v>159</v>
      </c>
      <c r="J27" s="4">
        <f>SUM(J2:J26)</f>
        <v>22.684000000000005</v>
      </c>
    </row>
    <row r="28" spans="1:10" ht="14.45" customHeight="1" x14ac:dyDescent="0.25"/>
    <row r="29" spans="1:10" ht="14.45" customHeight="1" x14ac:dyDescent="0.25"/>
    <row r="30" spans="1:10" ht="13.9" customHeight="1" x14ac:dyDescent="0.25"/>
    <row r="31" spans="1:10" ht="14.45" customHeight="1" x14ac:dyDescent="0.25"/>
    <row r="32" spans="1:10" ht="14.45" customHeight="1" x14ac:dyDescent="0.25"/>
    <row r="33" ht="15" customHeight="1" x14ac:dyDescent="0.25"/>
    <row r="34" ht="15" customHeight="1" x14ac:dyDescent="0.25"/>
    <row r="35" ht="15" customHeight="1" x14ac:dyDescent="0.25"/>
    <row r="36" ht="13.15" customHeight="1" x14ac:dyDescent="0.25"/>
    <row r="37" ht="14.4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</dc:creator>
  <cp:lastModifiedBy>Josh R</cp:lastModifiedBy>
  <dcterms:created xsi:type="dcterms:W3CDTF">2021-03-14T22:12:07Z</dcterms:created>
  <dcterms:modified xsi:type="dcterms:W3CDTF">2026-08-18T00:14:11Z</dcterms:modified>
</cp:coreProperties>
</file>